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PlatinumRx_Assignmenr_K_Vignesh\Microsoft Excel Sheet\"/>
    </mc:Choice>
  </mc:AlternateContent>
  <xr:revisionPtr revIDLastSave="0" documentId="8_{C1210BBA-D980-40D7-A31D-6D2329C333A2}" xr6:coauthVersionLast="47" xr6:coauthVersionMax="47" xr10:uidLastSave="{00000000-0000-0000-0000-000000000000}"/>
  <bookViews>
    <workbookView xWindow="-110" yWindow="-110" windowWidth="22620" windowHeight="14220" xr2:uid="{849C48D6-C08B-4A8A-A546-9770E083C87C}"/>
  </bookViews>
  <sheets>
    <sheet name="Tickets" sheetId="1" r:id="rId1"/>
    <sheet name="Feedbac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D2" i="4"/>
  <c r="D3" i="4"/>
  <c r="D4" i="4"/>
  <c r="D5" i="4"/>
  <c r="D6" i="4"/>
  <c r="D7" i="4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</calcChain>
</file>

<file path=xl/sharedStrings.xml><?xml version="1.0" encoding="utf-8"?>
<sst xmlns="http://schemas.openxmlformats.org/spreadsheetml/2006/main" count="39" uniqueCount="27">
  <si>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</si>
  <si>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</si>
  <si>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</si>
  <si>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</si>
  <si>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</si>
  <si>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</si>
  <si>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</si>
  <si>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</si>
  <si>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>wrqy-juv-978</t>
  </si>
  <si>
    <t>vew-iuvd-12</t>
  </si>
  <si>
    <t>qer-fal-092</t>
  </si>
  <si>
    <t>8woh-k3u-23b</t>
  </si>
  <si>
    <t>cms-001</t>
  </si>
  <si>
    <t>tkt-day-001</t>
  </si>
  <si>
    <t>out-456</t>
  </si>
  <si>
    <t>cms-004</t>
  </si>
  <si>
    <t>tkt-hour-002</t>
  </si>
  <si>
    <t>cms-005</t>
  </si>
  <si>
    <t>tkt-sep-005</t>
  </si>
  <si>
    <t>cms-006</t>
  </si>
  <si>
    <t>tkt-oct-011</t>
  </si>
  <si>
    <t>cms-007</t>
  </si>
  <si>
    <t>tkt-oct-012</t>
  </si>
  <si>
    <t>cms-008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</si>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</sst>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444746"/>
      <name val="Google Sans Tex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5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22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22" fontId="1" fillId="0" borderId="8" xfId="0" applyNumberFormat="1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1">
    <dxf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5C35C-7350-4A0B-85DF-EEBD6F180BD3}" name="Table3" displayName="Table3" ref="A1:G8" totalsRowShown="0" headerRowDxfId="13" dataDxfId="0" headerRowBorderDxfId="15" tableBorderDxfId="16" totalsRowBorderDxfId="14">
  <autoFilter ref="A1:G8" xr:uid="{2715C35C-7350-4A0B-85DF-EEBD6F180BD3}"/>
  <tableColumns count="7">
    <tableColumn id="1" xr3:uid="{291D5D46-1C25-414F-89F0-C68A20524093}" name="ticket_id" dataDxfId="7"/>
    <tableColumn id="2" xr3:uid="{0AEA1D35-D96C-468A-8DD4-FD49D5818F4F}" name="created_at" dataDxfId="6"/>
    <tableColumn id="3" xr3:uid="{7F296ADE-6BB3-48EE-B08B-3777B32EAB9A}" name="closed_at" dataDxfId="5"/>
    <tableColumn id="4" xr3:uid="{6F117DDE-7657-4C02-A46B-A3ECF8531C0A}" name="outlet_id" dataDxfId="4"/>
    <tableColumn id="5" xr3:uid="{A0D08BEF-498A-4D2C-A77D-597567FEA784}" name="cms_id" dataDxfId="3"/>
    <tableColumn id="6" xr3:uid="{4A24AD6B-15EF-4568-9C6B-3640172084B9}" name="Same Day?" dataDxfId="2">
      <calculatedColumnFormula>INT(B1)=INT(C1)</calculatedColumnFormula>
    </tableColumn>
    <tableColumn id="7" xr3:uid="{0992C018-B2A9-44CB-9847-D3E8EC9AA540}" name="Same Hour?" dataDxfId="1">
      <calculatedColumnFormula>AND(F1, HOUR(B1)=HOUR(C1))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98CE14-54FD-452A-B384-9D8D164853E5}" name="Table2" displayName="Table2" ref="A1:D8" totalsRowShown="0" headerRowDxfId="17" dataDxfId="8" headerRowBorderDxfId="19" tableBorderDxfId="20" totalsRowBorderDxfId="18">
  <autoFilter ref="A1:D8" xr:uid="{0698CE14-54FD-452A-B384-9D8D164853E5}"/>
  <tableColumns count="4">
    <tableColumn id="1" xr3:uid="{5C647DA2-7CD7-4540-BA28-C9B9FC3B9D0A}" name="cms_id" dataDxfId="12"/>
    <tableColumn id="2" xr3:uid="{F0CF3F62-B460-405D-A929-5E90834ACDBC}" name="feedback_at" dataDxfId="11"/>
    <tableColumn id="3" xr3:uid="{FE3D63FB-196C-42C4-9216-615309539853}" name="feedback_rating" dataDxfId="10"/>
    <tableColumn id="4" xr3:uid="{C1828D59-F155-4454-8C18-1DC9F6EEF9D5}" name="ticket_created_at" dataDxfId="9">
      <calculatedColumnFormula>TEXT(INDEX(Tickets!$B:$B, MATCH(A2, Tickets!$E:$E, 0)), "YYYY-MM-DD HH:MM:SS")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28E0-B3F9-419C-BD0F-560EE47849D3}">
  <dimension ref="A1:G8"/>
  <sheetViews>
    <sheetView tabSelected="1" workbookViewId="0">
      <selection activeCell="C27" sqref="C27"/>
    </sheetView>
  </sheetViews>
  <sheetFormatPr defaultRowHeight="14.5"/>
  <cols>
    <col min="1" max="1" width="18.7265625" customWidth="1"/>
    <col min="2" max="2" width="21.7265625" customWidth="1"/>
    <col min="3" max="3" width="21.6328125" customWidth="1"/>
    <col min="4" max="4" width="16.54296875" customWidth="1"/>
    <col min="5" max="5" width="17.26953125" customWidth="1"/>
    <col min="6" max="6" width="15.453125" customWidth="1"/>
    <col min="7" max="7" width="15.36328125" customWidth="1"/>
  </cols>
  <sheetData>
    <row r="1" spans="1:7" ht="15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15" thickBot="1">
      <c r="A2" s="7" t="s">
        <v>7</v>
      </c>
      <c r="B2" s="8">
        <v>44427.698414351849</v>
      </c>
      <c r="C2" s="8">
        <v>44430.523287037038</v>
      </c>
      <c r="D2" s="9" t="s">
        <v>8</v>
      </c>
      <c r="E2" s="9" t="s">
        <v>9</v>
      </c>
      <c r="F2" s="16" t="b">
        <f>INT(B2)=INT(C2)</f>
        <v>0</v>
      </c>
      <c r="G2" s="11" t="b">
        <f>AND(F1, HOUR(B2)=HOUR(C2))</f>
        <v>0</v>
      </c>
    </row>
    <row r="3" spans="1:7" ht="15" thickBot="1">
      <c r="A3" s="7" t="s">
        <v>10</v>
      </c>
      <c r="B3" s="8">
        <v>44429.464837962965</v>
      </c>
      <c r="C3" s="8">
        <v>44429.717881944445</v>
      </c>
      <c r="D3" s="9" t="s">
        <v>11</v>
      </c>
      <c r="E3" s="9" t="s">
        <v>12</v>
      </c>
      <c r="F3" s="16" t="b">
        <f>INT(B2)=INT(C2)</f>
        <v>0</v>
      </c>
      <c r="G3" s="11" t="b">
        <f>AND(F2, HOUR(B2)=HOUR(C2))</f>
        <v>0</v>
      </c>
    </row>
    <row r="4" spans="1:7" ht="15" thickBot="1">
      <c r="A4" s="7" t="s">
        <v>13</v>
      </c>
      <c r="B4" s="8">
        <v>44449.59375</v>
      </c>
      <c r="C4" s="8">
        <v>44449.729166666664</v>
      </c>
      <c r="D4" s="9" t="s">
        <v>14</v>
      </c>
      <c r="E4" s="9" t="s">
        <v>15</v>
      </c>
      <c r="F4" s="16" t="b">
        <f>INT(B3)=INT(C3)</f>
        <v>1</v>
      </c>
      <c r="G4" s="11" t="b">
        <f>AND(F3, HOUR(B3)=HOUR(C3))</f>
        <v>0</v>
      </c>
    </row>
    <row r="5" spans="1:7" ht="15" thickBot="1">
      <c r="A5" s="7" t="s">
        <v>16</v>
      </c>
      <c r="B5" s="8">
        <v>44454.447916666664</v>
      </c>
      <c r="C5" s="8">
        <v>44454.454861111109</v>
      </c>
      <c r="D5" s="9" t="s">
        <v>8</v>
      </c>
      <c r="E5" s="9" t="s">
        <v>17</v>
      </c>
      <c r="F5" s="16" t="b">
        <f>INT(B4)=INT(C4)</f>
        <v>1</v>
      </c>
      <c r="G5" s="11" t="b">
        <f>AND(F4, HOUR(B4)=HOUR(C4))</f>
        <v>0</v>
      </c>
    </row>
    <row r="6" spans="1:7" ht="15" thickBot="1">
      <c r="A6" s="7" t="s">
        <v>18</v>
      </c>
      <c r="B6" s="8">
        <v>44444.375</v>
      </c>
      <c r="C6" s="8">
        <v>44444.378472222219</v>
      </c>
      <c r="D6" s="9" t="s">
        <v>11</v>
      </c>
      <c r="E6" s="9" t="s">
        <v>19</v>
      </c>
      <c r="F6" s="16" t="b">
        <f>INT(B5)=INT(C5)</f>
        <v>1</v>
      </c>
      <c r="G6" s="11" t="b">
        <f>AND(F5, HOUR(B5)=HOUR(C5))</f>
        <v>1</v>
      </c>
    </row>
    <row r="7" spans="1:7" ht="15" thickBot="1">
      <c r="A7" s="7" t="s">
        <v>20</v>
      </c>
      <c r="B7" s="8">
        <v>44479.5</v>
      </c>
      <c r="C7" s="8">
        <v>44480.5</v>
      </c>
      <c r="D7" s="9" t="s">
        <v>14</v>
      </c>
      <c r="E7" s="9" t="s">
        <v>21</v>
      </c>
      <c r="F7" s="16" t="b">
        <f>INT(B6)=INT(C6)</f>
        <v>1</v>
      </c>
      <c r="G7" s="11" t="b">
        <f>AND(F6, HOUR(B6)=HOUR(C6))</f>
        <v>1</v>
      </c>
    </row>
    <row r="8" spans="1:7">
      <c r="A8" s="12" t="s">
        <v>22</v>
      </c>
      <c r="B8" s="13">
        <v>44494.645833333336</v>
      </c>
      <c r="C8" s="13">
        <v>44494.665972222225</v>
      </c>
      <c r="D8" s="14" t="s">
        <v>8</v>
      </c>
      <c r="E8" s="14" t="s">
        <v>23</v>
      </c>
      <c r="F8" s="17" t="b">
        <f>INT(B7)=INT(C7)</f>
        <v>0</v>
      </c>
      <c r="G8" s="15" t="b">
        <f>AND(F7, HOUR(B7)=HOUR(C7))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F3FC-BE29-47E4-9C13-8F44EADFEA8A}">
  <dimension ref="A1:D8"/>
  <sheetViews>
    <sheetView workbookViewId="0">
      <selection activeCell="C15" sqref="C15"/>
    </sheetView>
  </sheetViews>
  <sheetFormatPr defaultRowHeight="14.5"/>
  <cols>
    <col min="1" max="1" width="31.08984375" customWidth="1"/>
    <col min="2" max="2" width="19.26953125" customWidth="1"/>
    <col min="3" max="3" width="26.7265625" customWidth="1"/>
    <col min="4" max="4" width="32.6328125" customWidth="1"/>
  </cols>
  <sheetData>
    <row r="1" spans="1:4" ht="15" thickBot="1">
      <c r="A1" s="1" t="s">
        <v>4</v>
      </c>
      <c r="B1" s="2" t="s">
        <v>24</v>
      </c>
      <c r="C1" s="2" t="s">
        <v>25</v>
      </c>
      <c r="D1" s="3" t="s">
        <v>26</v>
      </c>
    </row>
    <row r="2" spans="1:4" ht="15" thickBot="1">
      <c r="A2" s="7" t="s">
        <v>9</v>
      </c>
      <c r="B2" s="8">
        <v>44429.55972222222</v>
      </c>
      <c r="C2" s="9">
        <v>3</v>
      </c>
      <c r="D2" s="10" t="str">
        <f>TEXT(INDEX(Tickets!$B:$B, MATCH(A2, Tickets!$E:$E, 0)), "YYYY-MM-DD HH:MM:SS")</f>
        <v>2021-08-19 16:45:43</v>
      </c>
    </row>
    <row r="3" spans="1:4" ht="15" thickBot="1">
      <c r="A3" s="7" t="s">
        <v>15</v>
      </c>
      <c r="B3" s="8">
        <v>44450.416666666664</v>
      </c>
      <c r="C3" s="9">
        <v>5</v>
      </c>
      <c r="D3" s="11" t="str">
        <f>TEXT(INDEX(Tickets!$B:$B, MATCH(A3, Tickets!$E:$E, 0)), "YYYY-MM-DD HH:MM:SS")</f>
        <v>2021-09-10 14:15:00</v>
      </c>
    </row>
    <row r="4" spans="1:4" ht="15" thickBot="1">
      <c r="A4" s="7" t="s">
        <v>17</v>
      </c>
      <c r="B4" s="8">
        <v>44455.5</v>
      </c>
      <c r="C4" s="9">
        <v>4</v>
      </c>
      <c r="D4" s="11" t="str">
        <f>TEXT(INDEX(Tickets!$B:$B, MATCH(A4, Tickets!$E:$E, 0)), "YYYY-MM-DD HH:MM:SS")</f>
        <v>2021-09-15 10:45:00</v>
      </c>
    </row>
    <row r="5" spans="1:4" ht="15" thickBot="1">
      <c r="A5" s="7" t="s">
        <v>12</v>
      </c>
      <c r="B5" s="8">
        <v>44430.375</v>
      </c>
      <c r="C5" s="9">
        <v>4</v>
      </c>
      <c r="D5" s="11" t="str">
        <f>TEXT(INDEX(Tickets!$B:$B, MATCH(A5, Tickets!$E:$E, 0)), "YYYY-MM-DD HH:MM:SS")</f>
        <v>2021-08-21 11:09:22</v>
      </c>
    </row>
    <row r="6" spans="1:4" ht="15" thickBot="1">
      <c r="A6" s="7" t="s">
        <v>19</v>
      </c>
      <c r="B6" s="8">
        <v>44444.416666666664</v>
      </c>
      <c r="C6" s="9">
        <v>5</v>
      </c>
      <c r="D6" s="11" t="str">
        <f>TEXT(INDEX(Tickets!$B:$B, MATCH(A6, Tickets!$E:$E, 0)), "YYYY-MM-DD HH:MM:SS")</f>
        <v>2021-09-05 09:00:00</v>
      </c>
    </row>
    <row r="7" spans="1:4" ht="15" thickBot="1">
      <c r="A7" s="7" t="s">
        <v>21</v>
      </c>
      <c r="B7" s="8">
        <v>44481.416666666664</v>
      </c>
      <c r="C7" s="9">
        <v>3</v>
      </c>
      <c r="D7" s="11" t="str">
        <f>TEXT(INDEX(Tickets!$B:$B, MATCH(A7, Tickets!$E:$E, 0)), "YYYY-MM-DD HH:MM:SS")</f>
        <v>2021-10-10 12:00:00</v>
      </c>
    </row>
    <row r="8" spans="1:4" ht="15.5" customHeight="1">
      <c r="A8" s="12" t="s">
        <v>23</v>
      </c>
      <c r="B8" s="13">
        <v>44494.6875</v>
      </c>
      <c r="C8" s="14">
        <v>5</v>
      </c>
      <c r="D8" s="15" t="str">
        <f>TEXT(INDEX(Tickets!$B:$B, MATCH(A8, Tickets!$E:$E, 0)), "YYYY-MM-DD HH:MM:SS")</f>
        <v>2021-10-25 15:30:00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Kodumunja</dc:creator>
  <cp:lastModifiedBy>Vignesh Kodumunja</cp:lastModifiedBy>
  <dcterms:created xsi:type="dcterms:W3CDTF">2025-12-02T15:50:13Z</dcterms:created>
  <dcterms:modified xsi:type="dcterms:W3CDTF">2025-12-03T04:16:10Z</dcterms:modified>
</cp:coreProperties>
</file>